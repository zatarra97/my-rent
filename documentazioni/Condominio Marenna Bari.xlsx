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chele\Desktop\"/>
    </mc:Choice>
  </mc:AlternateContent>
  <xr:revisionPtr revIDLastSave="0" documentId="13_ncr:1_{59F8B483-E3CF-4E6D-A401-49B7C39DA000}" xr6:coauthVersionLast="47" xr6:coauthVersionMax="47" xr10:uidLastSave="{00000000-0000-0000-0000-000000000000}"/>
  <bookViews>
    <workbookView xWindow="11412" yWindow="48" windowWidth="11640" windowHeight="8964" xr2:uid="{00000000-000D-0000-FFFF-FFFF00000000}"/>
  </bookViews>
  <sheets>
    <sheet name="20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1" l="1"/>
  <c r="H10" i="1"/>
  <c r="C25" i="1"/>
  <c r="G26" i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Michele</author>
  </authors>
  <commentList>
    <comment ref="B5" authorId="0" shapeId="0" xr:uid="{24EF0DEC-4FD0-4776-A86D-90674C9B406C}">
      <text>
        <r>
          <rPr>
            <b/>
            <sz val="9"/>
            <color indexed="81"/>
            <rFont val="Tahoma"/>
            <family val="2"/>
          </rPr>
          <t>bonifico € 83
gen.+feb.+mar.+
1° semestre assicurazione</t>
        </r>
      </text>
    </comment>
    <comment ref="G5" authorId="0" shapeId="0" xr:uid="{CCEF7DFA-3BF3-4388-A92B-AB68D140067C}">
      <text>
        <r>
          <rPr>
            <b/>
            <sz val="9"/>
            <color indexed="81"/>
            <rFont val="Tahoma"/>
            <family val="2"/>
          </rPr>
          <t>bonifico del 20.11.2025</t>
        </r>
      </text>
    </comment>
    <comment ref="B6" authorId="0" shapeId="0" xr:uid="{EB22E64B-8CFE-4C6F-9C38-A306272DA7C1}">
      <text>
        <r>
          <rPr>
            <b/>
            <sz val="9"/>
            <color indexed="81"/>
            <rFont val="Tahoma"/>
            <family val="2"/>
          </rPr>
          <t>vedi commento gennaio</t>
        </r>
      </text>
    </comment>
    <comment ref="G6" authorId="0" shapeId="0" xr:uid="{E52F8E90-2791-4570-AB41-FF0AAF6AA4EC}">
      <text>
        <r>
          <rPr>
            <b/>
            <sz val="9"/>
            <color indexed="81"/>
            <rFont val="Tahoma"/>
            <family val="2"/>
          </rPr>
          <t>bonifico € 430,39
del 5.7.2026
saldo sollecito bonario</t>
        </r>
      </text>
    </comment>
    <comment ref="B7" authorId="0" shapeId="0" xr:uid="{F1633998-68BE-44D9-9202-F598B44FAC74}">
      <text>
        <r>
          <rPr>
            <b/>
            <sz val="9"/>
            <color indexed="81"/>
            <rFont val="Tahoma"/>
            <family val="2"/>
          </rPr>
          <t>vedi commento gennaio</t>
        </r>
      </text>
    </comment>
    <comment ref="G7" authorId="0" shapeId="0" xr:uid="{1F6444D3-6A69-497C-B01C-F977E6FFCD9F}">
      <text>
        <r>
          <rPr>
            <b/>
            <sz val="9"/>
            <color indexed="81"/>
            <rFont val="Tahoma"/>
            <family val="2"/>
          </rPr>
          <t>vedicommento 2^rata</t>
        </r>
      </text>
    </comment>
    <comment ref="B8" authorId="0" shapeId="0" xr:uid="{FBCBFE5D-9D4A-4373-8A64-891584229105}">
      <text>
        <r>
          <rPr>
            <b/>
            <sz val="9"/>
            <color indexed="81"/>
            <rFont val="Tahoma"/>
            <family val="2"/>
          </rPr>
          <t>bonifico € 96
del 28.05.2026</t>
        </r>
      </text>
    </comment>
    <comment ref="G8" authorId="0" shapeId="0" xr:uid="{9B2AE5F0-F317-4445-9488-95489E6E0831}">
      <text>
        <r>
          <rPr>
            <b/>
            <sz val="9"/>
            <color indexed="81"/>
            <rFont val="Tahoma"/>
            <family val="2"/>
          </rPr>
          <t>vedi commento 2^rata</t>
        </r>
      </text>
    </comment>
    <comment ref="B9" authorId="0" shapeId="0" xr:uid="{84CFA99C-A5BB-43AE-AD43-BB81AC4CEB8A}">
      <text>
        <r>
          <rPr>
            <b/>
            <sz val="9"/>
            <color indexed="81"/>
            <rFont val="Tahoma"/>
            <family val="2"/>
          </rPr>
          <t>bonifico € 96
del 28.05.2026</t>
        </r>
      </text>
    </comment>
    <comment ref="G9" authorId="0" shapeId="0" xr:uid="{5ADD67F8-9B0E-4BD1-A9A3-B3C20B2CF5AD}">
      <text>
        <r>
          <rPr>
            <b/>
            <sz val="9"/>
            <color indexed="81"/>
            <rFont val="Tahoma"/>
            <family val="2"/>
          </rPr>
          <t>vedi commento 2^rata</t>
        </r>
      </text>
    </comment>
    <comment ref="B10" authorId="0" shapeId="0" xr:uid="{12DB63BE-46FD-408E-BB2D-ED5CBDBB8E22}">
      <text>
        <r>
          <rPr>
            <b/>
            <sz val="9"/>
            <color indexed="81"/>
            <rFont val="Tahoma"/>
            <family val="2"/>
          </rPr>
          <t>bonifico € 96
del 28.05.2026</t>
        </r>
      </text>
    </comment>
    <comment ref="B11" authorId="0" shapeId="0" xr:uid="{20F481FC-7147-4CA6-AD16-AD0D5E685025}">
      <text>
        <r>
          <rPr>
            <b/>
            <sz val="9"/>
            <color indexed="81"/>
            <rFont val="Tahoma"/>
            <family val="2"/>
          </rPr>
          <t>bonifico € 96
del 28.05.2026</t>
        </r>
      </text>
    </comment>
    <comment ref="B21" authorId="0" shapeId="0" xr:uid="{A56A2A31-DAF2-4C41-87B8-071FE8FA853B}">
      <text>
        <r>
          <rPr>
            <b/>
            <sz val="9"/>
            <color indexed="81"/>
            <rFont val="Tahoma"/>
            <family val="2"/>
          </rPr>
          <t>bonifico € 36,36
del 05.02.2026
inviato watsapp a Emmanuele</t>
        </r>
      </text>
    </comment>
    <comment ref="C22" authorId="0" shapeId="0" xr:uid="{A8516143-4AB9-40AD-B2BA-14EC68AC297A}">
      <text>
        <r>
          <rPr>
            <b/>
            <sz val="9"/>
            <color indexed="81"/>
            <rFont val="Tahoma"/>
            <family val="2"/>
          </rPr>
          <t>bonifico € 430,36 del 5.7.2026
saldo sollecito bonario</t>
        </r>
      </text>
    </comment>
    <comment ref="G22" authorId="0" shapeId="0" xr:uid="{ACBF3EB5-7E31-4488-ACF7-DFE6A4D80E40}">
      <text>
        <r>
          <rPr>
            <b/>
            <sz val="9"/>
            <color indexed="81"/>
            <rFont val="Tahoma"/>
            <family val="2"/>
          </rPr>
          <t>pagato con bonifico del 27.02.2026 di € 83 (gen.+feb-+mar.+1° semestre assicurazione</t>
        </r>
      </text>
    </comment>
    <comment ref="C23" authorId="0" shapeId="0" xr:uid="{87244DCE-70FC-451F-8A48-F90E59B29CCF}">
      <text>
        <r>
          <rPr>
            <b/>
            <sz val="9"/>
            <color indexed="81"/>
            <rFont val="Tahoma"/>
            <family val="2"/>
          </rPr>
          <t>vedi commento 2° emissione</t>
        </r>
      </text>
    </comment>
    <comment ref="C24" authorId="0" shapeId="0" xr:uid="{75544B3B-EFDB-485A-84A3-EC05DD7FD9BB}">
      <text>
        <r>
          <rPr>
            <b/>
            <sz val="9"/>
            <color indexed="81"/>
            <rFont val="Tahoma"/>
            <family val="2"/>
          </rPr>
          <t>vedi commento 2°emissione</t>
        </r>
      </text>
    </comment>
    <comment ref="G25" authorId="0" shapeId="0" xr:uid="{9F758849-8666-4DDB-8305-17EEE99DF3BD}">
      <text>
        <r>
          <rPr>
            <b/>
            <sz val="9"/>
            <color indexed="81"/>
            <rFont val="Tahoma"/>
            <family val="2"/>
          </rPr>
          <t>bonifico € 430,36 del 5.7.2026
saldo sollecito bonario</t>
        </r>
      </text>
    </comment>
    <comment ref="B29" authorId="0" shapeId="0" xr:uid="{F788E6BA-B95F-4E46-BAAF-6AA6534C0E95}">
      <text>
        <r>
          <rPr>
            <b/>
            <sz val="9"/>
            <color indexed="81"/>
            <rFont val="Tahoma"/>
            <family val="2"/>
          </rPr>
          <t>consulenza tecnica di parte per A.T.P. relativo alle opere di ristrutturazione per superbonus 110%</t>
        </r>
      </text>
    </comment>
    <comment ref="B31" authorId="0" shapeId="0" xr:uid="{3F44C5EB-ACCE-4C41-BB36-0598676BB3EF}">
      <text>
        <r>
          <rPr>
            <b/>
            <sz val="9"/>
            <color indexed="81"/>
            <rFont val="Tahoma"/>
            <family val="2"/>
          </rPr>
          <t>installazione proiettori illuminazione esterna
bonifico del 08.06.2026
inviato watsapp a Emmanuele</t>
        </r>
      </text>
    </comment>
    <comment ref="B33" authorId="0" shapeId="0" xr:uid="{DE68C65A-E5B9-401C-ABCF-092BD5D40C94}">
      <text>
        <r>
          <rPr>
            <b/>
            <sz val="9"/>
            <color indexed="81"/>
            <rFont val="Tahoma"/>
            <family val="2"/>
          </rPr>
          <t>conguaglio 2025
bonifico del 16.06.2026
diviso 12 x 5 mesi 
da ago. a dic
€ 57,37 Emmanuele</t>
        </r>
      </text>
    </comment>
    <comment ref="B35" authorId="0" shapeId="0" xr:uid="{18D0519D-8134-4C60-B020-B03F3FA135CA}">
      <text>
        <r>
          <rPr>
            <b/>
            <sz val="9"/>
            <color indexed="81"/>
            <rFont val="Tahoma"/>
            <family val="2"/>
          </rPr>
          <t>lavori di impermeabilizzazione lastrico solare</t>
        </r>
      </text>
    </comment>
  </commentList>
</comments>
</file>

<file path=xl/sharedStrings.xml><?xml version="1.0" encoding="utf-8"?>
<sst xmlns="http://schemas.openxmlformats.org/spreadsheetml/2006/main" count="40" uniqueCount="36">
  <si>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</si>
  <si>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</si>
  <si>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</si>
  <si>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</si>
  <si>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</si>
  <si>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</si>
  <si>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</si>
  <si>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</si>
  <si>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</si>
  <si>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</si>
  <si>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</si>
  <si>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</si>
  <si>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€</t>
  </si>
  <si>
    <t>scade</t>
  </si>
  <si>
    <t>I semestre</t>
  </si>
  <si>
    <t>assicurazione</t>
  </si>
  <si>
    <t>quote condominio</t>
  </si>
  <si>
    <t>II semestre</t>
  </si>
  <si>
    <t>ricevuta nr.</t>
  </si>
  <si>
    <t>AQP</t>
  </si>
  <si>
    <t>1° emiss.</t>
  </si>
  <si>
    <t>2° emiss.</t>
  </si>
  <si>
    <t>3° emiss.</t>
  </si>
  <si>
    <t>4° emiss.</t>
  </si>
  <si>
    <t>1^ rata</t>
  </si>
  <si>
    <t>spese legali procedim. di cognizione</t>
  </si>
  <si>
    <t>2^ rata</t>
  </si>
  <si>
    <t>3^ rata</t>
  </si>
  <si>
    <t>4^ rata</t>
  </si>
  <si>
    <t>5^ rata</t>
  </si>
  <si>
    <t>agosto</t>
  </si>
  <si>
    <t>settembre</t>
  </si>
  <si>
    <t>ottobre</t>
  </si>
  <si>
    <t>novembre</t>
  </si>
  <si>
    <t>dicembre</t>
  </si>
  <si>
    <r>
      <rPr>
        <b/>
        <sz val="11"/>
        <color theme="1"/>
        <rFont val="Calibri"/>
        <family val="2"/>
        <scheme val="minor"/>
      </rPr>
      <t>aumento quote condominiali</t>
    </r>
    <r>
      <rPr>
        <sz val="11"/>
        <color theme="1"/>
        <rFont val="Calibri"/>
        <family val="2"/>
        <scheme val="minor"/>
      </rPr>
      <t xml:space="preserve"> del 19.06.2026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</si>
</sst>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;[Red]\-[$€-2]\ #,##0"/>
    <numFmt numFmtId="166" formatCode="[$€-2]\ #,##0.00;[Red]\-[$€-2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14" fontId="0" fillId="0" borderId="3" xfId="0" applyNumberFormat="1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4" fontId="0" fillId="0" borderId="0" xfId="0" applyNumberFormat="1" applyBorder="1"/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4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 applyAlignment="1">
      <alignment horizontal="center"/>
    </xf>
    <xf numFmtId="14" fontId="0" fillId="0" borderId="5" xfId="0" applyNumberFormat="1" applyFont="1" applyBorder="1"/>
    <xf numFmtId="0" fontId="0" fillId="0" borderId="6" xfId="0" applyFont="1" applyBorder="1"/>
    <xf numFmtId="0" fontId="0" fillId="0" borderId="7" xfId="0" applyFont="1" applyBorder="1" applyAlignment="1">
      <alignment horizontal="center"/>
    </xf>
    <xf numFmtId="14" fontId="0" fillId="0" borderId="8" xfId="0" applyNumberFormat="1" applyFont="1" applyBorder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31" workbookViewId="0">
      <selection activeCell="G42" sqref="G42"/>
    </sheetView>
  </sheetViews>
  <sheetFormatPr defaultRowHeight="14.4" x14ac:dyDescent="0.3"/>
  <cols>
    <col min="2" max="2" width="10.33203125" style="1" customWidth="1"/>
    <col min="3" max="3" width="8.88671875" style="1"/>
    <col min="4" max="4" width="10.5546875" bestFit="1" customWidth="1"/>
    <col min="5" max="5" width="10.5546875" customWidth="1"/>
    <col min="6" max="6" width="8.88671875" style="25"/>
    <col min="7" max="7" width="10.109375" style="1" customWidth="1"/>
    <col min="8" max="8" width="10.5546875" style="1" bestFit="1" customWidth="1"/>
    <col min="9" max="9" width="10.5546875" bestFit="1" customWidth="1"/>
  </cols>
  <sheetData>
    <row r="1" spans="1:9" x14ac:dyDescent="0.3">
      <c r="A1" s="43"/>
    </row>
    <row r="3" spans="1:9" x14ac:dyDescent="0.3">
      <c r="A3" s="14" t="s">
        <v>16</v>
      </c>
      <c r="B3" s="15"/>
      <c r="C3" s="15"/>
      <c r="D3" s="16"/>
      <c r="E3" s="7"/>
      <c r="F3" s="14" t="s">
        <v>25</v>
      </c>
      <c r="G3" s="15"/>
      <c r="H3" s="15"/>
      <c r="I3" s="16"/>
    </row>
    <row r="4" spans="1:9" x14ac:dyDescent="0.3">
      <c r="A4" s="10"/>
      <c r="B4" s="20" t="s">
        <v>18</v>
      </c>
      <c r="C4" s="11" t="s">
        <v>12</v>
      </c>
      <c r="D4" s="17" t="s">
        <v>13</v>
      </c>
      <c r="E4" s="8"/>
      <c r="F4" s="31"/>
      <c r="G4" s="20" t="s">
        <v>18</v>
      </c>
      <c r="H4" s="7" t="s">
        <v>12</v>
      </c>
      <c r="I4" s="22" t="s">
        <v>13</v>
      </c>
    </row>
    <row r="5" spans="1:9" x14ac:dyDescent="0.3">
      <c r="A5" s="3" t="s">
        <v>0</v>
      </c>
      <c r="B5" s="44">
        <v>167980</v>
      </c>
      <c r="C5" s="4">
        <v>24</v>
      </c>
      <c r="D5" s="5">
        <v>46023</v>
      </c>
      <c r="E5" s="29"/>
      <c r="F5" s="31" t="s">
        <v>24</v>
      </c>
      <c r="G5" s="7">
        <v>161787</v>
      </c>
      <c r="H5" s="7">
        <v>66</v>
      </c>
      <c r="I5" s="9">
        <v>45976</v>
      </c>
    </row>
    <row r="6" spans="1:9" x14ac:dyDescent="0.3">
      <c r="A6" s="6" t="s">
        <v>1</v>
      </c>
      <c r="B6" s="45">
        <v>168045</v>
      </c>
      <c r="C6" s="7">
        <v>24</v>
      </c>
      <c r="D6" s="9">
        <v>46054</v>
      </c>
      <c r="E6" s="29"/>
      <c r="F6" s="31" t="s">
        <v>26</v>
      </c>
      <c r="G6" s="47">
        <v>161820</v>
      </c>
      <c r="H6" s="7">
        <v>66</v>
      </c>
      <c r="I6" s="9">
        <v>46006</v>
      </c>
    </row>
    <row r="7" spans="1:9" x14ac:dyDescent="0.3">
      <c r="A7" s="6" t="s">
        <v>2</v>
      </c>
      <c r="B7" s="45">
        <v>168077</v>
      </c>
      <c r="C7" s="7">
        <v>24</v>
      </c>
      <c r="D7" s="9">
        <v>46082</v>
      </c>
      <c r="E7" s="29"/>
      <c r="F7" s="31" t="s">
        <v>27</v>
      </c>
      <c r="G7" s="47">
        <v>161853</v>
      </c>
      <c r="H7" s="7">
        <v>66</v>
      </c>
      <c r="I7" s="9">
        <v>46037</v>
      </c>
    </row>
    <row r="8" spans="1:9" x14ac:dyDescent="0.3">
      <c r="A8" s="6" t="s">
        <v>3</v>
      </c>
      <c r="B8" s="33">
        <v>168109</v>
      </c>
      <c r="C8" s="7">
        <v>24</v>
      </c>
      <c r="D8" s="9">
        <v>46113</v>
      </c>
      <c r="E8" s="29"/>
      <c r="F8" s="31" t="s">
        <v>28</v>
      </c>
      <c r="G8" s="47">
        <v>161886</v>
      </c>
      <c r="H8" s="7">
        <v>66</v>
      </c>
      <c r="I8" s="9">
        <v>46068</v>
      </c>
    </row>
    <row r="9" spans="1:9" x14ac:dyDescent="0.3">
      <c r="A9" s="6" t="s">
        <v>4</v>
      </c>
      <c r="B9" s="33">
        <v>168141</v>
      </c>
      <c r="C9" s="7">
        <v>24</v>
      </c>
      <c r="D9" s="9">
        <v>46143</v>
      </c>
      <c r="E9" s="29"/>
      <c r="F9" s="32" t="s">
        <v>29</v>
      </c>
      <c r="G9" s="48">
        <v>161919</v>
      </c>
      <c r="H9" s="11">
        <v>66.97</v>
      </c>
      <c r="I9" s="12">
        <v>46096</v>
      </c>
    </row>
    <row r="10" spans="1:9" x14ac:dyDescent="0.3">
      <c r="A10" s="6" t="s">
        <v>5</v>
      </c>
      <c r="B10" s="33">
        <v>168173</v>
      </c>
      <c r="C10" s="7">
        <v>24</v>
      </c>
      <c r="D10" s="9">
        <v>46174</v>
      </c>
      <c r="E10" s="29"/>
      <c r="H10" s="13">
        <f>SUM(H5:H9)</f>
        <v>330.97</v>
      </c>
    </row>
    <row r="11" spans="1:9" x14ac:dyDescent="0.3">
      <c r="A11" s="6" t="s">
        <v>6</v>
      </c>
      <c r="B11" s="33">
        <v>168205</v>
      </c>
      <c r="C11" s="7">
        <v>24</v>
      </c>
      <c r="D11" s="9">
        <v>46204</v>
      </c>
      <c r="E11" s="29"/>
    </row>
    <row r="12" spans="1:9" x14ac:dyDescent="0.3">
      <c r="A12" s="6" t="s">
        <v>7</v>
      </c>
      <c r="B12" s="7">
        <v>168270</v>
      </c>
      <c r="C12" s="7">
        <v>24</v>
      </c>
      <c r="D12" s="9">
        <v>46235</v>
      </c>
      <c r="E12" s="29"/>
    </row>
    <row r="13" spans="1:9" x14ac:dyDescent="0.3">
      <c r="A13" s="6" t="s">
        <v>8</v>
      </c>
      <c r="B13" s="7">
        <v>168302</v>
      </c>
      <c r="C13" s="7">
        <v>24</v>
      </c>
      <c r="D13" s="9">
        <v>46266</v>
      </c>
      <c r="E13" s="29"/>
    </row>
    <row r="14" spans="1:9" x14ac:dyDescent="0.3">
      <c r="A14" s="6" t="s">
        <v>9</v>
      </c>
      <c r="B14" s="7">
        <v>168334</v>
      </c>
      <c r="C14" s="7">
        <v>24</v>
      </c>
      <c r="D14" s="9">
        <v>46296</v>
      </c>
      <c r="E14" s="29"/>
    </row>
    <row r="15" spans="1:9" x14ac:dyDescent="0.3">
      <c r="A15" s="6" t="s">
        <v>10</v>
      </c>
      <c r="B15" s="7">
        <v>168366</v>
      </c>
      <c r="C15" s="7">
        <v>24</v>
      </c>
      <c r="D15" s="9">
        <v>46327</v>
      </c>
      <c r="E15" s="29"/>
    </row>
    <row r="16" spans="1:9" x14ac:dyDescent="0.3">
      <c r="A16" s="10" t="s">
        <v>11</v>
      </c>
      <c r="B16" s="11">
        <v>168398</v>
      </c>
      <c r="C16" s="11">
        <v>34.75</v>
      </c>
      <c r="D16" s="12">
        <v>46357</v>
      </c>
      <c r="E16" s="29"/>
    </row>
    <row r="17" spans="1:8" x14ac:dyDescent="0.3">
      <c r="C17" s="13">
        <f>SUM(C5:C16)</f>
        <v>298.75</v>
      </c>
    </row>
    <row r="20" spans="1:8" x14ac:dyDescent="0.3">
      <c r="A20" s="18" t="s">
        <v>19</v>
      </c>
      <c r="B20" s="21"/>
      <c r="C20" s="21"/>
      <c r="D20" s="19"/>
      <c r="E20" s="30"/>
      <c r="G20" s="18" t="s">
        <v>15</v>
      </c>
      <c r="H20" s="19"/>
    </row>
    <row r="21" spans="1:8" x14ac:dyDescent="0.3">
      <c r="A21" s="6" t="s">
        <v>20</v>
      </c>
      <c r="B21" s="7">
        <v>175086</v>
      </c>
      <c r="C21" s="7">
        <v>36.36</v>
      </c>
      <c r="D21" s="9">
        <v>46058</v>
      </c>
      <c r="E21" s="29"/>
      <c r="F21" s="25">
        <v>168013</v>
      </c>
      <c r="G21" s="26" t="s">
        <v>14</v>
      </c>
      <c r="H21" s="22" t="s">
        <v>13</v>
      </c>
    </row>
    <row r="22" spans="1:8" x14ac:dyDescent="0.3">
      <c r="A22" s="6" t="s">
        <v>21</v>
      </c>
      <c r="B22" s="7">
        <v>190900</v>
      </c>
      <c r="C22" s="7">
        <v>24.96</v>
      </c>
      <c r="D22" s="9">
        <v>46117</v>
      </c>
      <c r="E22" s="29"/>
      <c r="G22" s="46">
        <v>11</v>
      </c>
      <c r="H22" s="23">
        <v>46025</v>
      </c>
    </row>
    <row r="23" spans="1:8" x14ac:dyDescent="0.3">
      <c r="A23" s="6" t="s">
        <v>22</v>
      </c>
      <c r="B23" s="7">
        <v>194171</v>
      </c>
      <c r="C23" s="7">
        <v>15.16</v>
      </c>
      <c r="D23" s="9">
        <v>46173</v>
      </c>
      <c r="E23" s="29"/>
      <c r="G23" s="26"/>
      <c r="H23" s="22"/>
    </row>
    <row r="24" spans="1:8" x14ac:dyDescent="0.3">
      <c r="A24" s="10" t="s">
        <v>23</v>
      </c>
      <c r="B24" s="11">
        <v>200786</v>
      </c>
      <c r="C24" s="11">
        <v>14.89</v>
      </c>
      <c r="D24" s="12">
        <v>46228</v>
      </c>
      <c r="E24" s="29"/>
      <c r="G24" s="26" t="s">
        <v>17</v>
      </c>
      <c r="H24" s="22"/>
    </row>
    <row r="25" spans="1:8" x14ac:dyDescent="0.3">
      <c r="C25" s="13">
        <f>SUM(C21:C24)</f>
        <v>91.37</v>
      </c>
      <c r="G25" s="27">
        <v>12.42</v>
      </c>
      <c r="H25" s="24">
        <v>46206</v>
      </c>
    </row>
    <row r="26" spans="1:8" x14ac:dyDescent="0.3">
      <c r="G26" s="28">
        <f>G22+G25</f>
        <v>23.42</v>
      </c>
    </row>
    <row r="29" spans="1:8" x14ac:dyDescent="0.3">
      <c r="B29" s="1">
        <v>185831</v>
      </c>
      <c r="C29" s="1">
        <v>53.33</v>
      </c>
      <c r="D29" s="2">
        <v>46053</v>
      </c>
    </row>
    <row r="31" spans="1:8" x14ac:dyDescent="0.3">
      <c r="B31" s="1">
        <v>196879</v>
      </c>
      <c r="C31" s="1">
        <v>48.58</v>
      </c>
      <c r="D31" s="2">
        <v>46183</v>
      </c>
    </row>
    <row r="33" spans="1:4" x14ac:dyDescent="0.3">
      <c r="B33" s="1">
        <v>197858</v>
      </c>
      <c r="C33" s="1">
        <v>137.68</v>
      </c>
      <c r="D33" s="2">
        <v>46184</v>
      </c>
    </row>
    <row r="35" spans="1:4" x14ac:dyDescent="0.3">
      <c r="B35" s="1">
        <v>190259</v>
      </c>
      <c r="C35" s="1">
        <v>88.88</v>
      </c>
      <c r="D35" s="2">
        <v>46106</v>
      </c>
    </row>
    <row r="39" spans="1:4" x14ac:dyDescent="0.3">
      <c r="A39" s="34" t="s">
        <v>35</v>
      </c>
      <c r="B39" s="35"/>
      <c r="C39" s="35"/>
      <c r="D39" s="36"/>
    </row>
    <row r="40" spans="1:4" x14ac:dyDescent="0.3">
      <c r="A40" s="37" t="s">
        <v>30</v>
      </c>
      <c r="B40" s="38">
        <v>197941</v>
      </c>
      <c r="C40" s="38">
        <v>48</v>
      </c>
      <c r="D40" s="39">
        <v>46235</v>
      </c>
    </row>
    <row r="41" spans="1:4" x14ac:dyDescent="0.3">
      <c r="A41" s="37" t="s">
        <v>31</v>
      </c>
      <c r="B41" s="38">
        <v>197983</v>
      </c>
      <c r="C41" s="38">
        <v>48</v>
      </c>
      <c r="D41" s="39">
        <v>46266</v>
      </c>
    </row>
    <row r="42" spans="1:4" x14ac:dyDescent="0.3">
      <c r="A42" s="37" t="s">
        <v>32</v>
      </c>
      <c r="B42" s="38">
        <v>198025</v>
      </c>
      <c r="C42" s="38">
        <v>48</v>
      </c>
      <c r="D42" s="39">
        <v>46296</v>
      </c>
    </row>
    <row r="43" spans="1:4" x14ac:dyDescent="0.3">
      <c r="A43" s="37" t="s">
        <v>33</v>
      </c>
      <c r="B43" s="38">
        <v>198067</v>
      </c>
      <c r="C43" s="38">
        <v>48</v>
      </c>
      <c r="D43" s="39">
        <v>46327</v>
      </c>
    </row>
    <row r="44" spans="1:4" x14ac:dyDescent="0.3">
      <c r="A44" s="40" t="s">
        <v>34</v>
      </c>
      <c r="B44" s="41">
        <v>198112</v>
      </c>
      <c r="C44" s="41">
        <v>53.69</v>
      </c>
      <c r="D44" s="42">
        <v>46357</v>
      </c>
    </row>
    <row r="45" spans="1:4" x14ac:dyDescent="0.3">
      <c r="C45" s="13">
        <f>SUM(C40:C44)</f>
        <v>245.69</v>
      </c>
    </row>
  </sheetData>
  <mergeCells count="5">
    <mergeCell ref="A3:D3"/>
    <mergeCell ref="G20:H20"/>
    <mergeCell ref="A20:D20"/>
    <mergeCell ref="F3:I3"/>
    <mergeCell ref="A39:D39"/>
  </mergeCells>
  <phoneticPr fontId="2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</dc:creator>
  <cp:lastModifiedBy>B26301</cp:lastModifiedBy>
  <dcterms:created xsi:type="dcterms:W3CDTF">2015-06-05T18:19:34Z</dcterms:created>
  <dcterms:modified xsi:type="dcterms:W3CDTF">2026-07-09T17:05:01Z</dcterms:modified>
</cp:coreProperties>
</file>